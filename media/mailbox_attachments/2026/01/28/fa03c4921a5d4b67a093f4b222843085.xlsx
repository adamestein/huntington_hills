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1"/>
  <workbookPr/>
  <mc:AlternateContent xmlns:mc="http://schemas.openxmlformats.org/markup-compatibility/2006">
    <mc:Choice Requires="x15">
      <x15ac:absPath xmlns:x15ac="http://schemas.microsoft.com/office/spreadsheetml/2010/11/ac" url="/Users/DavidEckert/Desktop/"/>
    </mc:Choice>
  </mc:AlternateContent>
  <xr:revisionPtr revIDLastSave="0" documentId="13_ncr:1_{706BEE4E-2C7B-7D40-8A0A-7DDCC6638492}" xr6:coauthVersionLast="47" xr6:coauthVersionMax="47" xr10:uidLastSave="{00000000-0000-0000-0000-000000000000}"/>
  <bookViews>
    <workbookView xWindow="0" yWindow="460" windowWidth="25600" windowHeight="14540" xr2:uid="{00000000-000D-0000-FFFF-FFFF00000000}"/>
  </bookViews>
  <sheets>
    <sheet name="Sheet1" sheetId="1" r:id="rId1"/>
  </sheets>
  <definedNames>
    <definedName name="_xlnm.Print_Area" localSheetId="0">Sheet1!$A$1:$J$47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2" i="1" l="1"/>
  <c r="H29" i="1" l="1"/>
  <c r="H20" i="1"/>
  <c r="H16" i="1"/>
  <c r="I31" i="1" l="1"/>
  <c r="J36" i="1" l="1"/>
  <c r="J33" i="1"/>
</calcChain>
</file>

<file path=xl/sharedStrings.xml><?xml version="1.0" encoding="utf-8"?>
<sst xmlns="http://schemas.openxmlformats.org/spreadsheetml/2006/main" count="26" uniqueCount="26">
  <si>
    <t>Huntington Hills Inc.</t>
  </si>
  <si>
    <t>TOI / County Taxes</t>
  </si>
  <si>
    <t>School Taxes</t>
  </si>
  <si>
    <t>Fire &amp; Liability Insurance</t>
  </si>
  <si>
    <t>D &amp; O Insurance</t>
  </si>
  <si>
    <t>Meetings &amp; Supplies</t>
  </si>
  <si>
    <t>Printing / Brochures</t>
  </si>
  <si>
    <t>Web Hosting / Domain</t>
  </si>
  <si>
    <t>Total Expenses</t>
  </si>
  <si>
    <t>Total Insurance</t>
  </si>
  <si>
    <t>Total Taxes</t>
  </si>
  <si>
    <t>Fed / NYS Income Tax Prep</t>
  </si>
  <si>
    <t>Fed / NYS Income Tax Paid</t>
  </si>
  <si>
    <t>Total Other Expenses</t>
  </si>
  <si>
    <t>Commons &amp; Tree Maint</t>
  </si>
  <si>
    <t>Report of Financial Operations</t>
  </si>
  <si>
    <t>Income:</t>
  </si>
  <si>
    <t>Assessments Collected - Past Due</t>
  </si>
  <si>
    <t>Assessments Collected - Current</t>
  </si>
  <si>
    <t>Expenses:</t>
  </si>
  <si>
    <t>Net Gain/Loss</t>
  </si>
  <si>
    <t>Assessments Collected - Future Year</t>
  </si>
  <si>
    <t>1/1/2025 - 12/31/2025</t>
  </si>
  <si>
    <t>Assessment Overpaid Refund</t>
  </si>
  <si>
    <t>1/1/25 Beginning Cash Balance</t>
  </si>
  <si>
    <t>12/31/25 Ending Cash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</si>
</sst>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_);\(&quot;$&quot;#,##0.0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1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 val="singleAccounting"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27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44" fontId="5" fillId="0" borderId="0" xfId="1" applyFont="1"/>
    <xf numFmtId="44" fontId="7" fillId="0" borderId="0" xfId="1" applyFont="1"/>
    <xf numFmtId="44" fontId="5" fillId="0" borderId="0" xfId="1" applyFont="1" applyAlignment="1">
      <alignment horizontal="right"/>
    </xf>
    <xf numFmtId="0" fontId="4" fillId="2" borderId="0" xfId="0" applyFont="1" applyFill="1"/>
    <xf numFmtId="44" fontId="4" fillId="2" borderId="0" xfId="1" applyFont="1" applyFill="1"/>
    <xf numFmtId="0" fontId="8" fillId="0" borderId="0" xfId="0" applyFont="1"/>
    <xf numFmtId="44" fontId="4" fillId="0" borderId="0" xfId="0" applyNumberFormat="1" applyFont="1"/>
    <xf numFmtId="44" fontId="7" fillId="0" borderId="0" xfId="0" applyNumberFormat="1" applyFont="1"/>
    <xf numFmtId="0" fontId="11" fillId="0" borderId="0" xfId="0" applyFont="1"/>
    <xf numFmtId="164" fontId="5" fillId="0" borderId="0" xfId="1" applyNumberFormat="1" applyFont="1"/>
    <xf numFmtId="164" fontId="7" fillId="0" borderId="0" xfId="1" applyNumberFormat="1" applyFont="1"/>
    <xf numFmtId="164" fontId="4" fillId="0" borderId="0" xfId="1" applyNumberFormat="1" applyFont="1"/>
    <xf numFmtId="0" fontId="4" fillId="0" borderId="0" xfId="0" quotePrefix="1" applyFont="1" applyAlignment="1">
      <alignment horizontal="right"/>
    </xf>
    <xf numFmtId="0" fontId="2" fillId="0" borderId="0" xfId="0" applyFont="1"/>
    <xf numFmtId="44" fontId="5" fillId="0" borderId="0" xfId="0" applyNumberFormat="1" applyFont="1"/>
    <xf numFmtId="7" fontId="5" fillId="0" borderId="0" xfId="1" applyNumberFormat="1" applyFont="1"/>
    <xf numFmtId="7" fontId="5" fillId="0" borderId="0" xfId="0" applyNumberFormat="1" applyFont="1"/>
    <xf numFmtId="0" fontId="4" fillId="0" borderId="1" xfId="0" applyFont="1" applyBorder="1"/>
    <xf numFmtId="44" fontId="4" fillId="0" borderId="0" xfId="1" applyFont="1" applyFill="1"/>
    <xf numFmtId="7" fontId="4" fillId="0" borderId="0" xfId="0" applyNumberFormat="1" applyFont="1"/>
    <xf numFmtId="0" fontId="1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6"/>
  <sheetViews>
    <sheetView tabSelected="1" workbookViewId="0">
      <selection sqref="A1:J1"/>
    </sheetView>
  </sheetViews>
  <sheetFormatPr baseColWidth="10" defaultColWidth="8.83203125" defaultRowHeight="16" x14ac:dyDescent="0.2"/>
  <cols>
    <col min="1" max="1" width="6.1640625" style="2" customWidth="1"/>
    <col min="2" max="2" width="6.83203125" style="2" customWidth="1"/>
    <col min="3" max="4" width="10.1640625" style="2" bestFit="1" customWidth="1"/>
    <col min="5" max="6" width="8.83203125" style="2"/>
    <col min="7" max="7" width="12.83203125" style="2" customWidth="1"/>
    <col min="8" max="8" width="13.33203125" style="2" bestFit="1" customWidth="1"/>
    <col min="9" max="9" width="13.33203125" style="2" customWidth="1"/>
    <col min="10" max="10" width="13.33203125" style="2" bestFit="1" customWidth="1"/>
    <col min="11" max="11" width="11.1640625" style="2" bestFit="1" customWidth="1"/>
    <col min="12" max="16384" width="8.83203125" style="2"/>
  </cols>
  <sheetData>
    <row r="1" spans="1:10" s="3" customFormat="1" ht="24" x14ac:dyDescent="0.3">
      <c r="A1" s="25" t="s">
        <v>15</v>
      </c>
      <c r="B1" s="25"/>
      <c r="C1" s="25"/>
      <c r="D1" s="25"/>
      <c r="E1" s="25"/>
      <c r="F1" s="25"/>
      <c r="G1" s="25"/>
      <c r="H1" s="25"/>
      <c r="I1" s="25"/>
      <c r="J1" s="25"/>
    </row>
    <row r="3" spans="1:10" s="9" customFormat="1" ht="21" x14ac:dyDescent="0.25">
      <c r="A3" s="26" t="s">
        <v>0</v>
      </c>
      <c r="B3" s="26"/>
      <c r="C3" s="26"/>
      <c r="D3" s="26"/>
      <c r="E3" s="26"/>
      <c r="F3" s="26"/>
      <c r="G3" s="26"/>
      <c r="H3" s="26"/>
      <c r="I3" s="26"/>
      <c r="J3" s="26"/>
    </row>
    <row r="4" spans="1:10" s="9" customFormat="1" ht="21" x14ac:dyDescent="0.25">
      <c r="A4" s="26" t="s">
        <v>22</v>
      </c>
      <c r="B4" s="26"/>
      <c r="C4" s="26"/>
      <c r="D4" s="26"/>
      <c r="E4" s="26"/>
      <c r="F4" s="26"/>
      <c r="G4" s="26"/>
      <c r="H4" s="26"/>
      <c r="I4" s="26"/>
      <c r="J4" s="26"/>
    </row>
    <row r="6" spans="1:10" s="1" customFormat="1" x14ac:dyDescent="0.2">
      <c r="A6" s="7" t="s">
        <v>24</v>
      </c>
      <c r="B6" s="7"/>
      <c r="C6" s="7"/>
      <c r="D6" s="7"/>
      <c r="E6" s="7"/>
      <c r="F6" s="7"/>
      <c r="G6" s="7"/>
      <c r="H6" s="7"/>
      <c r="I6" s="7"/>
      <c r="J6" s="8">
        <v>5498.77</v>
      </c>
    </row>
    <row r="7" spans="1:10" s="1" customFormat="1" x14ac:dyDescent="0.2">
      <c r="A7" s="21"/>
      <c r="J7" s="22"/>
    </row>
    <row r="8" spans="1:10" s="1" customFormat="1" x14ac:dyDescent="0.2">
      <c r="B8" s="1" t="s">
        <v>16</v>
      </c>
      <c r="J8" s="22"/>
    </row>
    <row r="9" spans="1:10" s="1" customFormat="1" x14ac:dyDescent="0.2">
      <c r="C9" s="1" t="s">
        <v>17</v>
      </c>
      <c r="G9" s="23">
        <v>390</v>
      </c>
      <c r="H9" s="23"/>
      <c r="I9" s="23"/>
      <c r="J9" s="22"/>
    </row>
    <row r="10" spans="1:10" s="1" customFormat="1" x14ac:dyDescent="0.2">
      <c r="C10" s="1" t="s">
        <v>21</v>
      </c>
      <c r="G10" s="23"/>
      <c r="H10" s="23"/>
      <c r="I10" s="23"/>
      <c r="J10" s="22"/>
    </row>
    <row r="11" spans="1:10" s="1" customFormat="1" x14ac:dyDescent="0.2">
      <c r="C11" s="1" t="s">
        <v>18</v>
      </c>
      <c r="G11" s="23">
        <v>5420</v>
      </c>
      <c r="H11" s="23"/>
      <c r="I11" s="23"/>
      <c r="J11" s="22"/>
    </row>
    <row r="12" spans="1:10" x14ac:dyDescent="0.2">
      <c r="G12" s="19"/>
      <c r="H12" s="19"/>
      <c r="I12" s="20">
        <f>G9+G10+G11</f>
        <v>5810</v>
      </c>
    </row>
    <row r="13" spans="1:10" x14ac:dyDescent="0.2">
      <c r="B13" s="12" t="s">
        <v>19</v>
      </c>
      <c r="G13" s="4"/>
      <c r="H13" s="4"/>
      <c r="I13" s="4"/>
    </row>
    <row r="14" spans="1:10" x14ac:dyDescent="0.2">
      <c r="C14" s="2" t="s">
        <v>1</v>
      </c>
      <c r="G14" s="4">
        <v>-874.78</v>
      </c>
      <c r="H14" s="4"/>
      <c r="I14" s="4"/>
    </row>
    <row r="15" spans="1:10" ht="19" x14ac:dyDescent="0.35">
      <c r="C15" s="2" t="s">
        <v>2</v>
      </c>
      <c r="G15" s="5">
        <v>-909.23</v>
      </c>
      <c r="H15" s="4"/>
      <c r="I15" s="4"/>
    </row>
    <row r="16" spans="1:10" x14ac:dyDescent="0.2">
      <c r="C16" s="2" t="s">
        <v>10</v>
      </c>
      <c r="G16" s="4"/>
      <c r="H16" s="4">
        <f>SUM(G14:G15)</f>
        <v>-1784.01</v>
      </c>
      <c r="I16" s="4"/>
    </row>
    <row r="17" spans="3:9" x14ac:dyDescent="0.2">
      <c r="G17" s="4"/>
      <c r="H17" s="4"/>
      <c r="I17" s="4"/>
    </row>
    <row r="18" spans="3:9" x14ac:dyDescent="0.2">
      <c r="C18" s="2" t="s">
        <v>3</v>
      </c>
      <c r="G18" s="4">
        <v>-1922.08</v>
      </c>
      <c r="H18" s="4"/>
      <c r="I18" s="4"/>
    </row>
    <row r="19" spans="3:9" ht="19" x14ac:dyDescent="0.35">
      <c r="C19" s="2" t="s">
        <v>4</v>
      </c>
      <c r="G19" s="5">
        <v>-750</v>
      </c>
      <c r="H19" s="4"/>
      <c r="I19" s="4"/>
    </row>
    <row r="20" spans="3:9" x14ac:dyDescent="0.2">
      <c r="C20" s="2" t="s">
        <v>9</v>
      </c>
      <c r="G20" s="4"/>
      <c r="H20" s="4">
        <f>SUM(G18:G19)</f>
        <v>-2672.08</v>
      </c>
      <c r="I20" s="4"/>
    </row>
    <row r="21" spans="3:9" x14ac:dyDescent="0.2">
      <c r="G21" s="4"/>
      <c r="H21" s="4"/>
      <c r="I21" s="4"/>
    </row>
    <row r="22" spans="3:9" x14ac:dyDescent="0.2">
      <c r="C22" s="2" t="s">
        <v>5</v>
      </c>
      <c r="G22" s="4">
        <v>-74.16</v>
      </c>
      <c r="H22" s="4"/>
      <c r="I22" s="4"/>
    </row>
    <row r="23" spans="3:9" x14ac:dyDescent="0.2">
      <c r="C23" s="2" t="s">
        <v>6</v>
      </c>
      <c r="G23" s="6">
        <v>0</v>
      </c>
      <c r="H23" s="4"/>
      <c r="I23" s="4"/>
    </row>
    <row r="24" spans="3:9" x14ac:dyDescent="0.2">
      <c r="C24" s="2" t="s">
        <v>11</v>
      </c>
      <c r="G24" s="4">
        <v>-200</v>
      </c>
      <c r="H24" s="4"/>
      <c r="I24" s="4"/>
    </row>
    <row r="25" spans="3:9" x14ac:dyDescent="0.2">
      <c r="C25" s="2" t="s">
        <v>12</v>
      </c>
      <c r="G25" s="4">
        <v>0</v>
      </c>
      <c r="H25" s="4"/>
      <c r="I25" s="4"/>
    </row>
    <row r="26" spans="3:9" x14ac:dyDescent="0.2">
      <c r="C26" s="2" t="s">
        <v>7</v>
      </c>
      <c r="G26" s="4">
        <v>-224.89</v>
      </c>
      <c r="H26" s="4"/>
      <c r="I26" s="4"/>
    </row>
    <row r="27" spans="3:9" x14ac:dyDescent="0.2">
      <c r="C27" s="2" t="s">
        <v>14</v>
      </c>
      <c r="G27" s="4"/>
      <c r="H27" s="4"/>
      <c r="I27" s="4"/>
    </row>
    <row r="28" spans="3:9" ht="19" x14ac:dyDescent="0.35">
      <c r="C28" s="24" t="s">
        <v>23</v>
      </c>
      <c r="G28" s="5">
        <v>-65</v>
      </c>
      <c r="H28" s="4"/>
      <c r="I28" s="4"/>
    </row>
    <row r="29" spans="3:9" ht="19" x14ac:dyDescent="0.35">
      <c r="C29" s="2" t="s">
        <v>13</v>
      </c>
      <c r="H29" s="11">
        <f>SUM(G22:G28)</f>
        <v>-564.04999999999995</v>
      </c>
      <c r="I29" s="11"/>
    </row>
    <row r="31" spans="3:9" x14ac:dyDescent="0.2">
      <c r="C31" s="1" t="s">
        <v>8</v>
      </c>
      <c r="I31" s="10">
        <f>SUM(H16:H29)</f>
        <v>-5020.1400000000003</v>
      </c>
    </row>
    <row r="32" spans="3:9" x14ac:dyDescent="0.2">
      <c r="C32" s="1"/>
      <c r="I32" s="10"/>
    </row>
    <row r="33" spans="1:10" x14ac:dyDescent="0.2">
      <c r="C33" s="1" t="s">
        <v>20</v>
      </c>
      <c r="I33" s="10"/>
      <c r="J33" s="18">
        <f>I12+I31</f>
        <v>789.85999999999967</v>
      </c>
    </row>
    <row r="34" spans="1:10" ht="20" customHeight="1" x14ac:dyDescent="0.2">
      <c r="C34" s="1"/>
      <c r="J34" s="10"/>
    </row>
    <row r="36" spans="1:10" x14ac:dyDescent="0.2">
      <c r="A36" s="7" t="s">
        <v>25</v>
      </c>
      <c r="B36" s="7"/>
      <c r="C36" s="7"/>
      <c r="D36" s="7"/>
      <c r="E36" s="7"/>
      <c r="F36" s="7"/>
      <c r="G36" s="7"/>
      <c r="H36" s="7"/>
      <c r="I36" s="7"/>
      <c r="J36" s="8">
        <f>J6+I12+I31</f>
        <v>6288.63</v>
      </c>
    </row>
    <row r="38" spans="1:10" s="1" customFormat="1" x14ac:dyDescent="0.2"/>
    <row r="39" spans="1:10" s="1" customFormat="1" x14ac:dyDescent="0.2">
      <c r="D39" s="13"/>
      <c r="E39" s="2"/>
    </row>
    <row r="40" spans="1:10" s="1" customFormat="1" ht="19" x14ac:dyDescent="0.35">
      <c r="C40" s="16"/>
      <c r="D40" s="14"/>
      <c r="E40" s="2"/>
    </row>
    <row r="41" spans="1:10" s="1" customFormat="1" x14ac:dyDescent="0.2">
      <c r="D41" s="15"/>
      <c r="E41" s="2"/>
    </row>
    <row r="42" spans="1:10" x14ac:dyDescent="0.2">
      <c r="D42" s="13"/>
    </row>
    <row r="43" spans="1:10" x14ac:dyDescent="0.2">
      <c r="C43" s="15"/>
    </row>
    <row r="44" spans="1:10" x14ac:dyDescent="0.2">
      <c r="D44" s="13"/>
      <c r="E44" s="17"/>
    </row>
    <row r="45" spans="1:10" ht="19" x14ac:dyDescent="0.35">
      <c r="C45" s="16"/>
      <c r="D45" s="14"/>
    </row>
    <row r="46" spans="1:10" x14ac:dyDescent="0.2">
      <c r="D46" s="15"/>
    </row>
  </sheetData>
  <mergeCells count="3">
    <mergeCell ref="A1:J1"/>
    <mergeCell ref="A3:J3"/>
    <mergeCell ref="A4:J4"/>
  </mergeCells>
  <pageMargins left="0.7" right="0.7" top="0.75" bottom="0.75" header="0.3" footer="0.3"/>
  <pageSetup scale="8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Crane</dc:creator>
  <cp:lastModifiedBy>Seta Hampar</cp:lastModifiedBy>
  <cp:lastPrinted>2025-12-01T14:52:42Z</cp:lastPrinted>
  <dcterms:created xsi:type="dcterms:W3CDTF">2017-11-24T23:05:46Z</dcterms:created>
  <dcterms:modified xsi:type="dcterms:W3CDTF">2025-12-01T14:52:47Z</dcterms:modified>
</cp:coreProperties>
</file>